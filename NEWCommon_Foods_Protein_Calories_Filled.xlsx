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1ef3fac6c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 Nutrition" sheetId="1" r:id="R72e0e9428f094528"/>
    <x:sheet xmlns:r="http://schemas.openxmlformats.org/officeDocument/2006/relationships" name="Category Summary" sheetId="2" r:id="Re6ededd152f64fd3"/>
    <x:sheet xmlns:r="http://schemas.openxmlformats.org/officeDocument/2006/relationships" name="Source Notes" sheetId="3" r:id="Raeb28cd7e9274f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444444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f980409c64982" /><Relationship Type="http://schemas.openxmlformats.org/officeDocument/2006/relationships/theme" Target="/xl/theme/theme1.xml" Id="R059de1d76b5645ee" /><Relationship Type="http://schemas.openxmlformats.org/officeDocument/2006/relationships/sharedStrings" Target="/xl/sharedStrings.xml" Id="Rbee32339143f480c" /><Relationship Type="http://schemas.openxmlformats.org/officeDocument/2006/relationships/worksheet" Target="/xl/worksheets/sheet1.xml" Id="R72e0e9428f094528" /><Relationship Type="http://schemas.openxmlformats.org/officeDocument/2006/relationships/worksheet" Target="/xl/worksheets/sheet2.xml" Id="Re6ededd152f64fd3" /><Relationship Type="http://schemas.openxmlformats.org/officeDocument/2006/relationships/worksheet" Target="/xl/worksheets/sheet3.xml" Id="Raeb28cd7e9274fec" /></Relationships>
</file>

<file path=xl/tables/table1.xml><?xml version="1.0" encoding="utf-8"?>
<x:table xmlns:x="http://schemas.openxmlformats.org/spreadsheetml/2006/main" id="1" name="FoodNutritionTable" displayName="FoodNutritionTable" ref="A4:I73" headerRowCount="1">
  <x:tableColumns count="9">
    <x:tableColumn id="1" name="ID"/>
    <x:tableColumn id="2" name="Food"/>
    <x:tableColumn id="3" name="Category"/>
    <x:tableColumn id="4" name="Serving"/>
    <x:tableColumn id="5" name="Protein (g)"/>
    <x:tableColumn id="6" name="Calories"/>
    <x:tableColumn id="7" name="Calories per g Protein"/>
    <x:tableColumn id="8" name="Notes / Assumptions"/>
    <x:tableColumn id="9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3:E14" headerRowCount="1">
  <x:tableColumns count="5">
    <x:tableColumn id="1" name="Category"/>
    <x:tableColumn id="2" name="Foods Count"/>
    <x:tableColumn id="3" name="Avg Protein (g)"/>
    <x:tableColumn id="4" name="Avg Calories"/>
    <x:tableColumn id="5" name="Best Protein/Calorie Foo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c2bdc6b02e42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112780e0ad4d4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22" hidden="0" customWidth="1"/>
    <x:col min="5" max="5" width="12" hidden="0" customWidth="1"/>
    <x:col min="6" max="6" width="10" hidden="0" customWidth="1"/>
    <x:col min="7" max="7" width="16" hidden="0" customWidth="1"/>
    <x:col min="8" max="8" width="38" hidden="0" customWidth="1"/>
    <x:col min="9" max="9" width="48" hidden="0" customWidth="1"/>
  </x:cols>
  <x:sheetData>
    <x:row r="1" ht="24" customHeight="1">
      <x:c r="A1" s="5" t="str">
        <x:v>Common Foods: Protein &amp; Calories</x:v>
      </x:c>
    </x:row>
    <x:row r="2" ht="34" customHeight="1">
      <x:c r="A2" s="14" t="str">
        <x:v>Rounded nutrition estimates for the listed serving sizes. For packaged foods, the product label is the final source of truth.</x:v>
      </x:c>
    </x:row>
    <x:row r="4" ht="28" customHeight="1">
      <x:c r="A4" s="24" t="str">
        <x:v>ID</x:v>
      </x:c>
      <x:c r="B4" s="24" t="str">
        <x:v>Food</x:v>
      </x:c>
      <x:c r="C4" s="24" t="str">
        <x:v>Category</x:v>
      </x:c>
      <x:c r="D4" s="24" t="str">
        <x:v>Serving</x:v>
      </x:c>
      <x:c r="E4" s="24" t="str">
        <x:v>Protein (g)</x:v>
      </x:c>
      <x:c r="F4" s="24" t="str">
        <x:v>Calories</x:v>
      </x:c>
      <x:c r="G4" s="24" t="str">
        <x:v>Calories per g Protein</x:v>
      </x:c>
      <x:c r="H4" s="24" t="str">
        <x:v>Notes / Assumptions</x:v>
      </x:c>
      <x:c r="I4" s="24" t="str">
        <x:v>Source URL</x:v>
      </x:c>
    </x:row>
    <x:row r="5">
      <x:c r="A5" s="37" t="str">
        <x:v>m01</x:v>
      </x:c>
      <x:c r="B5" s="37" t="str">
        <x:v>Chicken Breast</x:v>
      </x:c>
      <x:c r="C5" s="37" t="str">
        <x:v>meat</x:v>
      </x:c>
      <x:c r="D5" s="37" t="str">
        <x:v>3 oz / 85g cooked, skinless</x:v>
      </x:c>
      <x:c r="E5" s="38" t="n">
        <x:v>26.4</x:v>
      </x:c>
      <x:c r="F5" s="39" t="n">
        <x:v>140</x:v>
      </x:c>
      <x:c r="G5" s="38" t="n">
        <x:f>IF(E5&gt;0,F5/E5,"")</x:f>
        <x:v>5.303030303030304</x:v>
      </x:c>
      <x:c r="H5" s="37" t="str">
        <x:v>Cooked, skinless breast; rounded from ~100g cooked values.</x:v>
      </x:c>
      <x:c r="I5" s="37" t="str">
        <x:v>https://fdc.nal.usda.gov/food-search?query=chicken%20breast%20cooked%20skinless</x:v>
      </x:c>
    </x:row>
    <x:row r="6">
      <x:c r="A6" s="37" t="str">
        <x:v>m02</x:v>
      </x:c>
      <x:c r="B6" s="37" t="str">
        <x:v>Turkey Breast</x:v>
      </x:c>
      <x:c r="C6" s="37" t="str">
        <x:v>meat</x:v>
      </x:c>
      <x:c r="D6" s="37" t="str">
        <x:v>3 oz / 85g cooked</x:v>
      </x:c>
      <x:c r="E6" s="38" t="n">
        <x:v>25</x:v>
      </x:c>
      <x:c r="F6" s="39" t="n">
        <x:v>125</x:v>
      </x:c>
      <x:c r="G6" s="38" t="n">
        <x:f>IF(E6&gt;0,F6/E6,"")</x:f>
        <x:v>5</x:v>
      </x:c>
      <x:c r="H6" s="37" t="str">
        <x:v>Cooked/roasted turkey breast; lean meat.</x:v>
      </x:c>
      <x:c r="I6" s="37" t="str">
        <x:v>https://fdc.nal.usda.gov/food-search?query=turkey%20breast%20cooked%20roasted</x:v>
      </x:c>
    </x:row>
    <x:row r="7">
      <x:c r="A7" s="37" t="str">
        <x:v>m03</x:v>
      </x:c>
      <x:c r="B7" s="37" t="str">
        <x:v>Pork Tenderloin</x:v>
      </x:c>
      <x:c r="C7" s="37" t="str">
        <x:v>meat</x:v>
      </x:c>
      <x:c r="D7" s="37" t="str">
        <x:v>3 oz / 85g roasted</x:v>
      </x:c>
      <x:c r="E7" s="38" t="n">
        <x:v>22.3</x:v>
      </x:c>
      <x:c r="F7" s="39" t="n">
        <x:v>122</x:v>
      </x:c>
      <x:c r="G7" s="38" t="n">
        <x:f>IF(E7&gt;0,F7/E7,"")</x:f>
        <x:v>5.4708520179372195</x:v>
      </x:c>
      <x:c r="H7" s="37" t="str">
        <x:v>Lean roasted pork tenderloin.</x:v>
      </x:c>
      <x:c r="I7" s="37" t="str">
        <x:v>https://fdc.nal.usda.gov/food-search?query=pork%20tenderloin%20roasted</x:v>
      </x:c>
    </x:row>
    <x:row r="8">
      <x:c r="A8" s="37" t="str">
        <x:v>m04</x:v>
      </x:c>
      <x:c r="B8" s="37" t="str">
        <x:v>Lean Ground Beef (90%)</x:v>
      </x:c>
      <x:c r="C8" s="37" t="str">
        <x:v>meat</x:v>
      </x:c>
      <x:c r="D8" s="37" t="str">
        <x:v>3 oz / 85g cooked</x:v>
      </x:c>
      <x:c r="E8" s="38" t="n">
        <x:v>22</x:v>
      </x:c>
      <x:c r="F8" s="39" t="n">
        <x:v>184</x:v>
      </x:c>
      <x:c r="G8" s="38" t="n">
        <x:f>IF(E8&gt;0,F8/E8,"")</x:f>
        <x:v>8.363636363636363</x:v>
      </x:c>
      <x:c r="H8" s="37" t="str">
        <x:v>90% lean ground beef, cooked/pan-broiled; calories vary with drained fat.</x:v>
      </x:c>
      <x:c r="I8" s="37" t="str">
        <x:v>https://fdc.nal.usda.gov/food-search?query=ground%20beef%2090%25%20lean%20cooked</x:v>
      </x:c>
    </x:row>
    <x:row r="9">
      <x:c r="A9" s="37" t="str">
        <x:v>m05</x:v>
      </x:c>
      <x:c r="B9" s="37" t="str">
        <x:v>Lean Steak / Sirloin</x:v>
      </x:c>
      <x:c r="C9" s="37" t="str">
        <x:v>meat</x:v>
      </x:c>
      <x:c r="D9" s="37" t="str">
        <x:v>3 oz / 85g cooked</x:v>
      </x:c>
      <x:c r="E9" s="38" t="n">
        <x:v>25.8</x:v>
      </x:c>
      <x:c r="F9" s="39" t="n">
        <x:v>180</x:v>
      </x:c>
      <x:c r="G9" s="38" t="n">
        <x:f>IF(E9&gt;0,F9/E9,"")</x:f>
        <x:v>6.976744186046512</x:v>
      </x:c>
      <x:c r="H9" s="37" t="str">
        <x:v>Lean cooked sirloin/top sirloin estimate.</x:v>
      </x:c>
      <x:c r="I9" s="37" t="str">
        <x:v>https://fdc.nal.usda.gov/food-search?query=sirloin%20steak%20lean%20cooked</x:v>
      </x:c>
    </x:row>
    <x:row r="10">
      <x:c r="A10" s="37" t="str">
        <x:v>m06</x:v>
      </x:c>
      <x:c r="B10" s="37" t="str">
        <x:v>Ham</x:v>
      </x:c>
      <x:c r="C10" s="37" t="str">
        <x:v>meat</x:v>
      </x:c>
      <x:c r="D10" s="37" t="str">
        <x:v>3 oz / 85g roasted</x:v>
      </x:c>
      <x:c r="E10" s="38" t="n">
        <x:v>18</x:v>
      </x:c>
      <x:c r="F10" s="39" t="n">
        <x:v>123</x:v>
      </x:c>
      <x:c r="G10" s="38" t="n">
        <x:f>IF(E10&gt;0,F10/E10,"")</x:f>
        <x:v>6.833333333333333</x:v>
      </x:c>
      <x:c r="H10" s="37" t="str">
        <x:v>Roasted/cured ham; sodium and calories vary a lot by cut/brand.</x:v>
      </x:c>
      <x:c r="I10" s="37" t="str">
        <x:v>https://fdc.nal.usda.gov/food-search?query=ham%20roasted%20cooked</x:v>
      </x:c>
    </x:row>
    <x:row r="11">
      <x:c r="A11" s="37" t="str">
        <x:v>m07</x:v>
      </x:c>
      <x:c r="B11" s="37" t="str">
        <x:v>Bacon</x:v>
      </x:c>
      <x:c r="C11" s="37" t="str">
        <x:v>meat</x:v>
      </x:c>
      <x:c r="D11" s="37" t="str">
        <x:v>3 slices cooked</x:v>
      </x:c>
      <x:c r="E11" s="38" t="n">
        <x:v>9</x:v>
      </x:c>
      <x:c r="F11" s="39" t="n">
        <x:v>130</x:v>
      </x:c>
      <x:c r="G11" s="38" t="n">
        <x:f>IF(E11&gt;0,F11/E11,"")</x:f>
        <x:v>14.444444444444445</x:v>
      </x:c>
      <x:c r="H11" s="37" t="str">
        <x:v>Typical cooked pork bacon; brand/slice thickness varies.</x:v>
      </x:c>
      <x:c r="I11" s="37" t="str">
        <x:v>https://fdc.nal.usda.gov/food-search?query=bacon%20cooked%203%20slices</x:v>
      </x:c>
    </x:row>
    <x:row r="12">
      <x:c r="A12" s="37" t="str">
        <x:v>f01</x:v>
      </x:c>
      <x:c r="B12" s="37" t="str">
        <x:v>Tuna</x:v>
      </x:c>
      <x:c r="C12" s="37" t="str">
        <x:v>fish</x:v>
      </x:c>
      <x:c r="D12" s="37" t="str">
        <x:v>3 oz / 85g cooked or canned</x:v>
      </x:c>
      <x:c r="E12" s="38" t="n">
        <x:v>22</x:v>
      </x:c>
      <x:c r="F12" s="39" t="n">
        <x:v>100</x:v>
      </x:c>
      <x:c r="G12" s="38" t="n">
        <x:f>IF(E12&gt;0,F12/E12,"")</x:f>
        <x:v>4.545454545454546</x:v>
      </x:c>
      <x:c r="H12" s="37" t="str">
        <x:v>Canned in water/drained or cooked lean tuna estimate.</x:v>
      </x:c>
      <x:c r="I12" s="37" t="str">
        <x:v>https://fdc.nal.usda.gov/food-search?query=tuna%20canned%20in%20water%20drained</x:v>
      </x:c>
    </x:row>
    <x:row r="13">
      <x:c r="A13" s="37" t="str">
        <x:v>f02</x:v>
      </x:c>
      <x:c r="B13" s="37" t="str">
        <x:v>Salmon</x:v>
      </x:c>
      <x:c r="C13" s="37" t="str">
        <x:v>fish</x:v>
      </x:c>
      <x:c r="D13" s="37" t="str">
        <x:v>3 oz / 85g cooked</x:v>
      </x:c>
      <x:c r="E13" s="38" t="n">
        <x:v>22</x:v>
      </x:c>
      <x:c r="F13" s="39" t="n">
        <x:v>177</x:v>
      </x:c>
      <x:c r="G13" s="38" t="n">
        <x:f>IF(E13&gt;0,F13/E13,"")</x:f>
        <x:v>8.045454545454545</x:v>
      </x:c>
      <x:c r="H13" s="37" t="str">
        <x:v>Cooked salmon; wild vs Atlantic/farmed varies.</x:v>
      </x:c>
      <x:c r="I13" s="37" t="str">
        <x:v>https://fdc.nal.usda.gov/food-search?query=salmon%20cooked</x:v>
      </x:c>
    </x:row>
    <x:row r="14">
      <x:c r="A14" s="37" t="str">
        <x:v>f03</x:v>
      </x:c>
      <x:c r="B14" s="37" t="str">
        <x:v>Shrimp</x:v>
      </x:c>
      <x:c r="C14" s="37" t="str">
        <x:v>fish</x:v>
      </x:c>
      <x:c r="D14" s="37" t="str">
        <x:v>3 oz / 85g cooked</x:v>
      </x:c>
      <x:c r="E14" s="38" t="n">
        <x:v>20</x:v>
      </x:c>
      <x:c r="F14" s="39" t="n">
        <x:v>84</x:v>
      </x:c>
      <x:c r="G14" s="38" t="n">
        <x:f>IF(E14&gt;0,F14/E14,"")</x:f>
        <x:v>4.2</x:v>
      </x:c>
      <x:c r="H14" s="37" t="str">
        <x:v>Cooked shrimp, plain.</x:v>
      </x:c>
      <x:c r="I14" s="37" t="str">
        <x:v>https://fdc.nal.usda.gov/food-search?query=shrimp%20cooked</x:v>
      </x:c>
    </x:row>
    <x:row r="15">
      <x:c r="A15" s="37" t="str">
        <x:v>f04</x:v>
      </x:c>
      <x:c r="B15" s="37" t="str">
        <x:v>Sardines</x:v>
      </x:c>
      <x:c r="C15" s="37" t="str">
        <x:v>fish</x:v>
      </x:c>
      <x:c r="D15" s="37" t="str">
        <x:v>1 small can / 3.75 oz, canned</x:v>
      </x:c>
      <x:c r="E15" s="38" t="n">
        <x:v>22</x:v>
      </x:c>
      <x:c r="F15" s="39" t="n">
        <x:v>190</x:v>
      </x:c>
      <x:c r="G15" s="38" t="n">
        <x:f>IF(E15&gt;0,F15/E15,"")</x:f>
        <x:v>8.636363636363637</x:v>
      </x:c>
      <x:c r="H15" s="37" t="str">
        <x:v>Canned sardines; oil vs water/sauce changes calories.</x:v>
      </x:c>
      <x:c r="I15" s="37" t="str">
        <x:v>https://fdc.nal.usda.gov/food-search?query=sardines%20canned%203.75%20oz</x:v>
      </x:c>
    </x:row>
    <x:row r="16">
      <x:c r="A16" s="37" t="str">
        <x:v>f05</x:v>
      </x:c>
      <x:c r="B16" s="37" t="str">
        <x:v>Cod</x:v>
      </x:c>
      <x:c r="C16" s="37" t="str">
        <x:v>fish</x:v>
      </x:c>
      <x:c r="D16" s="37" t="str">
        <x:v>3 oz / 85g cooked</x:v>
      </x:c>
      <x:c r="E16" s="38" t="n">
        <x:v>19.7</x:v>
      </x:c>
      <x:c r="F16" s="39" t="n">
        <x:v>90</x:v>
      </x:c>
      <x:c r="G16" s="38" t="n">
        <x:f>IF(E16&gt;0,F16/E16,"")</x:f>
        <x:v>4.568527918781726</x:v>
      </x:c>
      <x:c r="H16" s="37" t="str">
        <x:v>Cooked cod, plain.</x:v>
      </x:c>
      <x:c r="I16" s="37" t="str">
        <x:v>https://fdc.nal.usda.gov/food-search?query=cod%20cooked</x:v>
      </x:c>
    </x:row>
    <x:row r="17">
      <x:c r="A17" s="37" t="str">
        <x:v>e01</x:v>
      </x:c>
      <x:c r="B17" s="37" t="str">
        <x:v>Egg (whole)</x:v>
      </x:c>
      <x:c r="C17" s="37" t="str">
        <x:v>eggs</x:v>
      </x:c>
      <x:c r="D17" s="37" t="str">
        <x:v>1 large egg / 50g</x:v>
      </x:c>
      <x:c r="E17" s="38" t="n">
        <x:v>6.3</x:v>
      </x:c>
      <x:c r="F17" s="39" t="n">
        <x:v>72</x:v>
      </x:c>
      <x:c r="G17" s="38" t="n">
        <x:f>IF(E17&gt;0,F17/E17,"")</x:f>
        <x:v>11.428571428571429</x:v>
      </x:c>
      <x:c r="H17" s="37" t="str">
        <x:v>Large whole egg.</x:v>
      </x:c>
      <x:c r="I17" s="37" t="str">
        <x:v>https://fdc.nal.usda.gov/food-search?query=egg%20whole%20large</x:v>
      </x:c>
    </x:row>
    <x:row r="18">
      <x:c r="A18" s="37" t="str">
        <x:v>e02</x:v>
      </x:c>
      <x:c r="B18" s="37" t="str">
        <x:v>Egg Whites</x:v>
      </x:c>
      <x:c r="C18" s="37" t="str">
        <x:v>eggs</x:v>
      </x:c>
      <x:c r="D18" s="37" t="str">
        <x:v>3 large egg whites</x:v>
      </x:c>
      <x:c r="E18" s="38" t="n">
        <x:v>10.8</x:v>
      </x:c>
      <x:c r="F18" s="39" t="n">
        <x:v>51</x:v>
      </x:c>
      <x:c r="G18" s="38" t="n">
        <x:f>IF(E18&gt;0,F18/E18,"")</x:f>
        <x:v>4.722222222222222</x:v>
      </x:c>
      <x:c r="H18" s="37" t="str">
        <x:v>Three large egg whites.</x:v>
      </x:c>
      <x:c r="I18" s="37" t="str">
        <x:v>https://fdc.nal.usda.gov/food-search?query=egg%20white%20large</x:v>
      </x:c>
    </x:row>
    <x:row r="19">
      <x:c r="A19" s="37" t="str">
        <x:v>d01</x:v>
      </x:c>
      <x:c r="B19" s="37" t="str">
        <x:v>Greek Yogurt (plain nonfat)</x:v>
      </x:c>
      <x:c r="C19" s="37" t="str">
        <x:v>dairy</x:v>
      </x:c>
      <x:c r="D19" s="37" t="str">
        <x:v>170g / about ¾ cup</x:v>
      </x:c>
      <x:c r="E19" s="38" t="n">
        <x:v>17</x:v>
      </x:c>
      <x:c r="F19" s="39" t="n">
        <x:v>100</x:v>
      </x:c>
      <x:c r="G19" s="38" t="n">
        <x:f>IF(E19&gt;0,F19/E19,"")</x:f>
        <x:v>5.882352941176471</x:v>
      </x:c>
      <x:c r="H19" s="37" t="str">
        <x:v>Plain nonfat Greek yogurt; brand varies.</x:v>
      </x:c>
      <x:c r="I19" s="37" t="str">
        <x:v>https://fdc.nal.usda.gov/food-search?query=greek%20yogurt%20plain%20nonfat%20170g</x:v>
      </x:c>
    </x:row>
    <x:row r="20">
      <x:c r="A20" s="37" t="str">
        <x:v>d02</x:v>
      </x:c>
      <x:c r="B20" s="37" t="str">
        <x:v>Cottage Cheese (low-fat)</x:v>
      </x:c>
      <x:c r="C20" s="37" t="str">
        <x:v>dairy</x:v>
      </x:c>
      <x:c r="D20" s="37" t="str">
        <x:v>1 cup</x:v>
      </x:c>
      <x:c r="E20" s="38" t="n">
        <x:v>28</x:v>
      </x:c>
      <x:c r="F20" s="39" t="n">
        <x:v>163</x:v>
      </x:c>
      <x:c r="G20" s="38" t="n">
        <x:f>IF(E20&gt;0,F20/E20,"")</x:f>
        <x:v>5.821428571428571</x:v>
      </x:c>
      <x:c r="H20" s="37" t="str">
        <x:v>Low-fat cottage cheese, about 1 cup/226g; brand varies.</x:v>
      </x:c>
      <x:c r="I20" s="37" t="str">
        <x:v>https://fdc.nal.usda.gov/food-search?query=cottage%20cheese%20lowfat%201%20cup</x:v>
      </x:c>
    </x:row>
    <x:row r="21">
      <x:c r="A21" s="37" t="str">
        <x:v>d03</x:v>
      </x:c>
      <x:c r="B21" s="37" t="str">
        <x:v>Milk</x:v>
      </x:c>
      <x:c r="C21" s="37" t="str">
        <x:v>dairy</x:v>
      </x:c>
      <x:c r="D21" s="37" t="str">
        <x:v>1 cup</x:v>
      </x:c>
      <x:c r="E21" s="38" t="n">
        <x:v>8</x:v>
      </x:c>
      <x:c r="F21" s="39" t="n">
        <x:v>149</x:v>
      </x:c>
      <x:c r="G21" s="38" t="n">
        <x:f>IF(E21&gt;0,F21/E21,"")</x:f>
        <x:v>18.625</x:v>
      </x:c>
      <x:c r="H21" s="37" t="str">
        <x:v>Assumed whole milk because original calories matched whole milk.</x:v>
      </x:c>
      <x:c r="I21" s="37" t="str">
        <x:v>https://fdc.nal.usda.gov/food-search?query=milk%20whole%201%20cup</x:v>
      </x:c>
    </x:row>
    <x:row r="22">
      <x:c r="A22" s="37" t="str">
        <x:v>d04</x:v>
      </x:c>
      <x:c r="B22" s="37" t="str">
        <x:v>Cheddar Cheese</x:v>
      </x:c>
      <x:c r="C22" s="37" t="str">
        <x:v>dairy</x:v>
      </x:c>
      <x:c r="D22" s="37" t="str">
        <x:v>1 oz / 28g</x:v>
      </x:c>
      <x:c r="E22" s="38" t="n">
        <x:v>6.5</x:v>
      </x:c>
      <x:c r="F22" s="39" t="n">
        <x:v>113</x:v>
      </x:c>
      <x:c r="G22" s="38" t="n">
        <x:f>IF(E22&gt;0,F22/E22,"")</x:f>
        <x:v>17.384615384615383</x:v>
      </x:c>
      <x:c r="H22" s="37" t="str">
        <x:v>Cheddar, 1 ounce.</x:v>
      </x:c>
      <x:c r="I22" s="37" t="str">
        <x:v>https://fdc.nal.usda.gov/food-search?query=cheddar%20cheese%201%20oz</x:v>
      </x:c>
    </x:row>
    <x:row r="23">
      <x:c r="A23" s="37" t="str">
        <x:v>d05</x:v>
      </x:c>
      <x:c r="B23" s="37" t="str">
        <x:v>Mozzarella Cheese</x:v>
      </x:c>
      <x:c r="C23" s="37" t="str">
        <x:v>dairy</x:v>
      </x:c>
      <x:c r="D23" s="37" t="str">
        <x:v>1 oz / 28g</x:v>
      </x:c>
      <x:c r="E23" s="38" t="n">
        <x:v>6</x:v>
      </x:c>
      <x:c r="F23" s="39" t="n">
        <x:v>85</x:v>
      </x:c>
      <x:c r="G23" s="38" t="n">
        <x:f>IF(E23&gt;0,F23/E23,"")</x:f>
        <x:v>14.166666666666666</x:v>
      </x:c>
      <x:c r="H23" s="37" t="str">
        <x:v>Assumed whole-milk mozzarella; part-skim is usually lower calorie.</x:v>
      </x:c>
      <x:c r="I23" s="37" t="str">
        <x:v>https://fdc.nal.usda.gov/food-search?query=mozzarella%20cheese%201%20oz</x:v>
      </x:c>
    </x:row>
    <x:row r="24">
      <x:c r="A24" s="37" t="str">
        <x:v>l01</x:v>
      </x:c>
      <x:c r="B24" s="37" t="str">
        <x:v>Lentils</x:v>
      </x:c>
      <x:c r="C24" s="37" t="str">
        <x:v>legumes</x:v>
      </x:c>
      <x:c r="D24" s="37" t="str">
        <x:v>1 cup cooked</x:v>
      </x:c>
      <x:c r="E24" s="38" t="n">
        <x:v>17.9</x:v>
      </x:c>
      <x:c r="F24" s="39" t="n">
        <x:v>230</x:v>
      </x:c>
      <x:c r="G24" s="38" t="n">
        <x:f>IF(E24&gt;0,F24/E24,"")</x:f>
        <x:v>12.849162011173185</x:v>
      </x:c>
      <x:c r="H24" s="37" t="str">
        <x:v>Cooked lentils.</x:v>
      </x:c>
      <x:c r="I24" s="37" t="str">
        <x:v>https://fdc.nal.usda.gov/food-search?query=lentils%20cooked%201%20cup</x:v>
      </x:c>
    </x:row>
    <x:row r="25">
      <x:c r="A25" s="37" t="str">
        <x:v>l02</x:v>
      </x:c>
      <x:c r="B25" s="37" t="str">
        <x:v>Black Beans</x:v>
      </x:c>
      <x:c r="C25" s="37" t="str">
        <x:v>legumes</x:v>
      </x:c>
      <x:c r="D25" s="37" t="str">
        <x:v>1 cup cooked</x:v>
      </x:c>
      <x:c r="E25" s="38" t="n">
        <x:v>15.2</x:v>
      </x:c>
      <x:c r="F25" s="39" t="n">
        <x:v>227</x:v>
      </x:c>
      <x:c r="G25" s="38" t="n">
        <x:f>IF(E25&gt;0,F25/E25,"")</x:f>
        <x:v>14.93421052631579</x:v>
      </x:c>
      <x:c r="H25" s="37" t="str">
        <x:v>Cooked black beans.</x:v>
      </x:c>
      <x:c r="I25" s="37" t="str">
        <x:v>https://fdc.nal.usda.gov/food-search?query=black%20beans%20cooked%201%20cup</x:v>
      </x:c>
    </x:row>
    <x:row r="26">
      <x:c r="A26" s="37" t="str">
        <x:v>l03</x:v>
      </x:c>
      <x:c r="B26" s="37" t="str">
        <x:v>Chickpeas</x:v>
      </x:c>
      <x:c r="C26" s="37" t="str">
        <x:v>legumes</x:v>
      </x:c>
      <x:c r="D26" s="37" t="str">
        <x:v>1 cup cooked</x:v>
      </x:c>
      <x:c r="E26" s="38" t="n">
        <x:v>14.5</x:v>
      </x:c>
      <x:c r="F26" s="39" t="n">
        <x:v>269</x:v>
      </x:c>
      <x:c r="G26" s="38" t="n">
        <x:f>IF(E26&gt;0,F26/E26,"")</x:f>
        <x:v>18.551724137931036</x:v>
      </x:c>
      <x:c r="H26" s="37" t="str">
        <x:v>Cooked chickpeas/garbanzo beans.</x:v>
      </x:c>
      <x:c r="I26" s="37" t="str">
        <x:v>https://fdc.nal.usda.gov/food-search?query=chickpeas%20cooked%201%20cup</x:v>
      </x:c>
    </x:row>
    <x:row r="27">
      <x:c r="A27" s="37" t="str">
        <x:v>l04</x:v>
      </x:c>
      <x:c r="B27" s="37" t="str">
        <x:v>Navy Beans</x:v>
      </x:c>
      <x:c r="C27" s="37" t="str">
        <x:v>legumes</x:v>
      </x:c>
      <x:c r="D27" s="37" t="str">
        <x:v>1 cup cooked</x:v>
      </x:c>
      <x:c r="E27" s="38" t="n">
        <x:v>15</x:v>
      </x:c>
      <x:c r="F27" s="39" t="n">
        <x:v>255</x:v>
      </x:c>
      <x:c r="G27" s="38" t="n">
        <x:f>IF(E27&gt;0,F27/E27,"")</x:f>
        <x:v>17</x:v>
      </x:c>
      <x:c r="H27" s="37" t="str">
        <x:v>Cooked navy beans.</x:v>
      </x:c>
      <x:c r="I27" s="37" t="str">
        <x:v>https://fdc.nal.usda.gov/food-search?query=navy%20beans%20cooked%201%20cup</x:v>
      </x:c>
    </x:row>
    <x:row r="28">
      <x:c r="A28" s="37" t="str">
        <x:v>l05</x:v>
      </x:c>
      <x:c r="B28" s="37" t="str">
        <x:v>Pinto Beans</x:v>
      </x:c>
      <x:c r="C28" s="37" t="str">
        <x:v>legumes</x:v>
      </x:c>
      <x:c r="D28" s="37" t="str">
        <x:v>1 cup cooked</x:v>
      </x:c>
      <x:c r="E28" s="38" t="n">
        <x:v>15.4</x:v>
      </x:c>
      <x:c r="F28" s="39" t="n">
        <x:v>245</x:v>
      </x:c>
      <x:c r="G28" s="38" t="n">
        <x:f>IF(E28&gt;0,F28/E28,"")</x:f>
        <x:v>15.909090909090908</x:v>
      </x:c>
      <x:c r="H28" s="37" t="str">
        <x:v>Cooked pinto beans.</x:v>
      </x:c>
      <x:c r="I28" s="37" t="str">
        <x:v>https://fdc.nal.usda.gov/food-search?query=pinto%20beans%20cooked%201%20cup</x:v>
      </x:c>
    </x:row>
    <x:row r="29">
      <x:c r="A29" s="37" t="str">
        <x:v>l06</x:v>
      </x:c>
      <x:c r="B29" s="37" t="str">
        <x:v>Edamame</x:v>
      </x:c>
      <x:c r="C29" s="37" t="str">
        <x:v>legumes</x:v>
      </x:c>
      <x:c r="D29" s="37" t="str">
        <x:v>1 cup cooked</x:v>
      </x:c>
      <x:c r="E29" s="38" t="n">
        <x:v>18.5</x:v>
      </x:c>
      <x:c r="F29" s="39" t="n">
        <x:v>188</x:v>
      </x:c>
      <x:c r="G29" s="38" t="n">
        <x:f>IF(E29&gt;0,F29/E29,"")</x:f>
        <x:v>10.162162162162161</x:v>
      </x:c>
      <x:c r="H29" s="37" t="str">
        <x:v>Cooked shelled edamame.</x:v>
      </x:c>
      <x:c r="I29" s="37" t="str">
        <x:v>https://fdc.nal.usda.gov/food-search?query=edamame%20cooked%20shelled%201%20cup</x:v>
      </x:c>
    </x:row>
    <x:row r="30">
      <x:c r="A30" s="37" t="str">
        <x:v>l07</x:v>
      </x:c>
      <x:c r="B30" s="37" t="str">
        <x:v>Tofu (firm)</x:v>
      </x:c>
      <x:c r="C30" s="37" t="str">
        <x:v>legumes</x:v>
      </x:c>
      <x:c r="D30" s="37" t="str">
        <x:v>½ cup</x:v>
      </x:c>
      <x:c r="E30" s="38" t="n">
        <x:v>10</x:v>
      </x:c>
      <x:c r="F30" s="39" t="n">
        <x:v>94</x:v>
      </x:c>
      <x:c r="G30" s="38" t="n">
        <x:f>IF(E30&gt;0,F30/E30,"")</x:f>
        <x:v>9.4</x:v>
      </x:c>
      <x:c r="H30" s="37" t="str">
        <x:v>Firm tofu; calcium-set products vary.</x:v>
      </x:c>
      <x:c r="I30" s="37" t="str">
        <x:v>https://fdc.nal.usda.gov/food-search?query=firm%20tofu%20half%20cup</x:v>
      </x:c>
    </x:row>
    <x:row r="31">
      <x:c r="A31" s="37" t="str">
        <x:v>l08</x:v>
      </x:c>
      <x:c r="B31" s="37" t="str">
        <x:v>Tempeh</x:v>
      </x:c>
      <x:c r="C31" s="37" t="str">
        <x:v>legumes</x:v>
      </x:c>
      <x:c r="D31" s="37" t="str">
        <x:v>3 oz / 85g</x:v>
      </x:c>
      <x:c r="E31" s="38" t="n">
        <x:v>17</x:v>
      </x:c>
      <x:c r="F31" s="39" t="n">
        <x:v>162</x:v>
      </x:c>
      <x:c r="G31" s="38" t="n">
        <x:f>IF(E31&gt;0,F31/E31,"")</x:f>
        <x:v>9.529411764705882</x:v>
      </x:c>
      <x:c r="H31" s="37" t="str">
        <x:v>Tempeh, 3 ounces.</x:v>
      </x:c>
      <x:c r="I31" s="37" t="str">
        <x:v>https://fdc.nal.usda.gov/food-search?query=tempeh%203%20oz</x:v>
      </x:c>
    </x:row>
    <x:row r="32">
      <x:c r="A32" s="37" t="str">
        <x:v>l09</x:v>
      </x:c>
      <x:c r="B32" s="37" t="str">
        <x:v>Green Peas</x:v>
      </x:c>
      <x:c r="C32" s="37" t="str">
        <x:v>legumes</x:v>
      </x:c>
      <x:c r="D32" s="37" t="str">
        <x:v>1 cup cooked</x:v>
      </x:c>
      <x:c r="E32" s="38" t="n">
        <x:v>8.6</x:v>
      </x:c>
      <x:c r="F32" s="39" t="n">
        <x:v>134</x:v>
      </x:c>
      <x:c r="G32" s="38" t="n">
        <x:f>IF(E32&gt;0,F32/E32,"")</x:f>
        <x:v>15.58139534883721</x:v>
      </x:c>
      <x:c r="H32" s="37" t="str">
        <x:v>Cooked green peas.</x:v>
      </x:c>
      <x:c r="I32" s="37" t="str">
        <x:v>https://fdc.nal.usda.gov/food-search?query=green%20peas%20cooked%201%20cup</x:v>
      </x:c>
    </x:row>
    <x:row r="33">
      <x:c r="A33" s="37" t="str">
        <x:v>n01</x:v>
      </x:c>
      <x:c r="B33" s="37" t="str">
        <x:v>Pumpkin Seeds</x:v>
      </x:c>
      <x:c r="C33" s="37" t="str">
        <x:v>nuts</x:v>
      </x:c>
      <x:c r="D33" s="37" t="str">
        <x:v>1 oz / 28g</x:v>
      </x:c>
      <x:c r="E33" s="38" t="n">
        <x:v>8.6</x:v>
      </x:c>
      <x:c r="F33" s="39" t="n">
        <x:v>158</x:v>
      </x:c>
      <x:c r="G33" s="38" t="n">
        <x:f>IF(E33&gt;0,F33/E33,"")</x:f>
        <x:v>18.372093023255815</x:v>
      </x:c>
      <x:c r="H33" s="37" t="str">
        <x:v>Pumpkin/squash seed kernels.</x:v>
      </x:c>
      <x:c r="I33" s="37" t="str">
        <x:v>https://fdc.nal.usda.gov/food-search?query=pumpkin%20seeds%201%20oz</x:v>
      </x:c>
    </x:row>
    <x:row r="34">
      <x:c r="A34" s="37" t="str">
        <x:v>n02</x:v>
      </x:c>
      <x:c r="B34" s="37" t="str">
        <x:v>Peanuts</x:v>
      </x:c>
      <x:c r="C34" s="37" t="str">
        <x:v>nuts</x:v>
      </x:c>
      <x:c r="D34" s="37" t="str">
        <x:v>1 oz / 28g</x:v>
      </x:c>
      <x:c r="E34" s="38" t="n">
        <x:v>7</x:v>
      </x:c>
      <x:c r="F34" s="39" t="n">
        <x:v>166</x:v>
      </x:c>
      <x:c r="G34" s="38" t="n">
        <x:f>IF(E34&gt;0,F34/E34,"")</x:f>
        <x:v>23.714285714285715</x:v>
      </x:c>
      <x:c r="H34" s="37" t="str">
        <x:v>Dry-roasted or raw peanuts; small variation by preparation.</x:v>
      </x:c>
      <x:c r="I34" s="37" t="str">
        <x:v>https://fdc.nal.usda.gov/food-search?query=peanuts%201%20oz</x:v>
      </x:c>
    </x:row>
    <x:row r="35">
      <x:c r="A35" s="37" t="str">
        <x:v>n03</x:v>
      </x:c>
      <x:c r="B35" s="37" t="str">
        <x:v>Peanut Butter</x:v>
      </x:c>
      <x:c r="C35" s="37" t="str">
        <x:v>nuts</x:v>
      </x:c>
      <x:c r="D35" s="37" t="str">
        <x:v>2 tbsp / 32g</x:v>
      </x:c>
      <x:c r="E35" s="38" t="n">
        <x:v>7.2</x:v>
      </x:c>
      <x:c r="F35" s="39" t="n">
        <x:v>188</x:v>
      </x:c>
      <x:c r="G35" s="38" t="n">
        <x:f>IF(E35&gt;0,F35/E35,"")</x:f>
        <x:v>26.11111111111111</x:v>
      </x:c>
      <x:c r="H35" s="37" t="str">
        <x:v>Standard smooth peanut butter.</x:v>
      </x:c>
      <x:c r="I35" s="37" t="str">
        <x:v>https://fdc.nal.usda.gov/food-search?query=peanut%20butter%202%20tablespoons</x:v>
      </x:c>
    </x:row>
    <x:row r="36">
      <x:c r="A36" s="37" t="str">
        <x:v>n04</x:v>
      </x:c>
      <x:c r="B36" s="37" t="str">
        <x:v>Almonds</x:v>
      </x:c>
      <x:c r="C36" s="37" t="str">
        <x:v>nuts</x:v>
      </x:c>
      <x:c r="D36" s="37" t="str">
        <x:v>1 oz / 28g</x:v>
      </x:c>
      <x:c r="E36" s="38" t="n">
        <x:v>6</x:v>
      </x:c>
      <x:c r="F36" s="39" t="n">
        <x:v>164</x:v>
      </x:c>
      <x:c r="G36" s="38" t="n">
        <x:f>IF(E36&gt;0,F36/E36,"")</x:f>
        <x:v>27.333333333333332</x:v>
      </x:c>
      <x:c r="H36" s="37" t="str">
        <x:v>Whole almonds.</x:v>
      </x:c>
      <x:c r="I36" s="37" t="str">
        <x:v>https://fdc.nal.usda.gov/food-search?query=almonds%201%20oz</x:v>
      </x:c>
    </x:row>
    <x:row r="37">
      <x:c r="A37" s="37" t="str">
        <x:v>n05</x:v>
      </x:c>
      <x:c r="B37" s="37" t="str">
        <x:v>Pistachios</x:v>
      </x:c>
      <x:c r="C37" s="37" t="str">
        <x:v>nuts</x:v>
      </x:c>
      <x:c r="D37" s="37" t="str">
        <x:v>1 oz / 28g</x:v>
      </x:c>
      <x:c r="E37" s="38" t="n">
        <x:v>5.7</x:v>
      </x:c>
      <x:c r="F37" s="39" t="n">
        <x:v>159</x:v>
      </x:c>
      <x:c r="G37" s="38" t="n">
        <x:f>IF(E37&gt;0,F37/E37,"")</x:f>
        <x:v>27.894736842105264</x:v>
      </x:c>
      <x:c r="H37" s="37" t="str">
        <x:v>Pistachio kernels.</x:v>
      </x:c>
      <x:c r="I37" s="37" t="str">
        <x:v>https://fdc.nal.usda.gov/food-search?query=pistachios%201%20oz</x:v>
      </x:c>
    </x:row>
    <x:row r="38">
      <x:c r="A38" s="37" t="str">
        <x:v>n06</x:v>
      </x:c>
      <x:c r="B38" s="37" t="str">
        <x:v>Cashews</x:v>
      </x:c>
      <x:c r="C38" s="37" t="str">
        <x:v>nuts</x:v>
      </x:c>
      <x:c r="D38" s="37" t="str">
        <x:v>1 oz / 28g</x:v>
      </x:c>
      <x:c r="E38" s="38" t="n">
        <x:v>5.2</x:v>
      </x:c>
      <x:c r="F38" s="39" t="n">
        <x:v>157</x:v>
      </x:c>
      <x:c r="G38" s="38" t="n">
        <x:f>IF(E38&gt;0,F38/E38,"")</x:f>
        <x:v>30.19230769230769</x:v>
      </x:c>
      <x:c r="H38" s="37" t="str">
        <x:v>Cashew nuts.</x:v>
      </x:c>
      <x:c r="I38" s="37" t="str">
        <x:v>https://fdc.nal.usda.gov/food-search?query=cashews%201%20oz</x:v>
      </x:c>
    </x:row>
    <x:row r="39">
      <x:c r="A39" s="37" t="str">
        <x:v>n07</x:v>
      </x:c>
      <x:c r="B39" s="37" t="str">
        <x:v>Sunflower Seeds</x:v>
      </x:c>
      <x:c r="C39" s="37" t="str">
        <x:v>nuts</x:v>
      </x:c>
      <x:c r="D39" s="37" t="str">
        <x:v>1 oz / 28g</x:v>
      </x:c>
      <x:c r="E39" s="38" t="n">
        <x:v>5.5</x:v>
      </x:c>
      <x:c r="F39" s="39" t="n">
        <x:v>164</x:v>
      </x:c>
      <x:c r="G39" s="38" t="n">
        <x:f>IF(E39&gt;0,F39/E39,"")</x:f>
        <x:v>29.818181818181817</x:v>
      </x:c>
      <x:c r="H39" s="37" t="str">
        <x:v>Sunflower seed kernels.</x:v>
      </x:c>
      <x:c r="I39" s="37" t="str">
        <x:v>https://fdc.nal.usda.gov/food-search?query=sunflower%20seeds%201%20oz</x:v>
      </x:c>
    </x:row>
    <x:row r="40">
      <x:c r="A40" s="37" t="str">
        <x:v>n08</x:v>
      </x:c>
      <x:c r="B40" s="37" t="str">
        <x:v>Hemp Hearts</x:v>
      </x:c>
      <x:c r="C40" s="37" t="str">
        <x:v>nuts</x:v>
      </x:c>
      <x:c r="D40" s="37" t="str">
        <x:v>3 tbsp / 30g</x:v>
      </x:c>
      <x:c r="E40" s="38" t="n">
        <x:v>10</x:v>
      </x:c>
      <x:c r="F40" s="39" t="n">
        <x:v>166</x:v>
      </x:c>
      <x:c r="G40" s="38" t="n">
        <x:f>IF(E40&gt;0,F40/E40,"")</x:f>
        <x:v>16.6</x:v>
      </x:c>
      <x:c r="H40" s="37" t="str">
        <x:v>Hulled hemp seeds/hemp hearts; brand labels vary.</x:v>
      </x:c>
      <x:c r="I40" s="37" t="str">
        <x:v>https://fdc.nal.usda.gov/food-search?query=hemp%20hearts%203%20tbsp</x:v>
      </x:c>
    </x:row>
    <x:row r="41">
      <x:c r="A41" s="37" t="str">
        <x:v>n09</x:v>
      </x:c>
      <x:c r="B41" s="37" t="str">
        <x:v>Chia Seeds</x:v>
      </x:c>
      <x:c r="C41" s="37" t="str">
        <x:v>nuts</x:v>
      </x:c>
      <x:c r="D41" s="37" t="str">
        <x:v>2 tbsp / 28g</x:v>
      </x:c>
      <x:c r="E41" s="38" t="n">
        <x:v>4.7</x:v>
      </x:c>
      <x:c r="F41" s="39" t="n">
        <x:v>138</x:v>
      </x:c>
      <x:c r="G41" s="38" t="n">
        <x:f>IF(E41&gt;0,F41/E41,"")</x:f>
        <x:v>29.361702127659573</x:v>
      </x:c>
      <x:c r="H41" s="37" t="str">
        <x:v>Chia seeds.</x:v>
      </x:c>
      <x:c r="I41" s="37" t="str">
        <x:v>https://fdc.nal.usda.gov/food-search?query=chia%20seeds%202%20tbsp</x:v>
      </x:c>
    </x:row>
    <x:row r="42">
      <x:c r="A42" s="37" t="str">
        <x:v>n10</x:v>
      </x:c>
      <x:c r="B42" s="37" t="str">
        <x:v>Walnuts</x:v>
      </x:c>
      <x:c r="C42" s="37" t="str">
        <x:v>nuts</x:v>
      </x:c>
      <x:c r="D42" s="37" t="str">
        <x:v>1 oz / 28g</x:v>
      </x:c>
      <x:c r="E42" s="38" t="n">
        <x:v>4.3</x:v>
      </x:c>
      <x:c r="F42" s="39" t="n">
        <x:v>185</x:v>
      </x:c>
      <x:c r="G42" s="38" t="n">
        <x:f>IF(E42&gt;0,F42/E42,"")</x:f>
        <x:v>43.02325581395349</x:v>
      </x:c>
      <x:c r="H42" s="37" t="str">
        <x:v>English walnuts.</x:v>
      </x:c>
      <x:c r="I42" s="37" t="str">
        <x:v>https://fdc.nal.usda.gov/food-search?query=walnuts%201%20oz</x:v>
      </x:c>
    </x:row>
    <x:row r="43">
      <x:c r="A43" s="37" t="str">
        <x:v>g01</x:v>
      </x:c>
      <x:c r="B43" s="37" t="str">
        <x:v>Oatmeal</x:v>
      </x:c>
      <x:c r="C43" s="37" t="str">
        <x:v>grains</x:v>
      </x:c>
      <x:c r="D43" s="37" t="str">
        <x:v>1 cup cooked</x:v>
      </x:c>
      <x:c r="E43" s="38" t="n">
        <x:v>5.9</x:v>
      </x:c>
      <x:c r="F43" s="39" t="n">
        <x:v>166</x:v>
      </x:c>
      <x:c r="G43" s="38" t="n">
        <x:f>IF(E43&gt;0,F43/E43,"")</x:f>
        <x:v>28.135593220338983</x:v>
      </x:c>
      <x:c r="H43" s="37" t="str">
        <x:v>Cooked oats/oatmeal prepared with water.</x:v>
      </x:c>
      <x:c r="I43" s="37" t="str">
        <x:v>https://fdc.nal.usda.gov/food-search?query=oatmeal%20cooked%201%20cup</x:v>
      </x:c>
    </x:row>
    <x:row r="44">
      <x:c r="A44" s="37" t="str">
        <x:v>g02</x:v>
      </x:c>
      <x:c r="B44" s="37" t="str">
        <x:v>Quinoa</x:v>
      </x:c>
      <x:c r="C44" s="37" t="str">
        <x:v>grains</x:v>
      </x:c>
      <x:c r="D44" s="37" t="str">
        <x:v>1 cup cooked</x:v>
      </x:c>
      <x:c r="E44" s="38" t="n">
        <x:v>8.1</x:v>
      </x:c>
      <x:c r="F44" s="39" t="n">
        <x:v>222</x:v>
      </x:c>
      <x:c r="G44" s="38" t="n">
        <x:f>IF(E44&gt;0,F44/E44,"")</x:f>
        <x:v>27.40740740740741</x:v>
      </x:c>
      <x:c r="H44" s="37" t="str">
        <x:v>Cooked quinoa.</x:v>
      </x:c>
      <x:c r="I44" s="37" t="str">
        <x:v>https://fdc.nal.usda.gov/food-search?query=quinoa%20cooked%201%20cup</x:v>
      </x:c>
    </x:row>
    <x:row r="45">
      <x:c r="A45" s="37" t="str">
        <x:v>g03</x:v>
      </x:c>
      <x:c r="B45" s="37" t="str">
        <x:v>Whole-Wheat Pasta</x:v>
      </x:c>
      <x:c r="C45" s="37" t="str">
        <x:v>grains</x:v>
      </x:c>
      <x:c r="D45" s="37" t="str">
        <x:v>1 cup cooked</x:v>
      </x:c>
      <x:c r="E45" s="38" t="n">
        <x:v>7.5</x:v>
      </x:c>
      <x:c r="F45" s="39" t="n">
        <x:v>174</x:v>
      </x:c>
      <x:c r="G45" s="38" t="n">
        <x:f>IF(E45&gt;0,F45/E45,"")</x:f>
        <x:v>23.2</x:v>
      </x:c>
      <x:c r="H45" s="37" t="str">
        <x:v>Cooked whole-wheat pasta.</x:v>
      </x:c>
      <x:c r="I45" s="37" t="str">
        <x:v>https://fdc.nal.usda.gov/food-search?query=whole%20wheat%20pasta%20cooked%201%20cup</x:v>
      </x:c>
    </x:row>
    <x:row r="46">
      <x:c r="A46" s="37" t="str">
        <x:v>g04</x:v>
      </x:c>
      <x:c r="B46" s="37" t="str">
        <x:v>Pasta (regular)</x:v>
      </x:c>
      <x:c r="C46" s="37" t="str">
        <x:v>grains</x:v>
      </x:c>
      <x:c r="D46" s="37" t="str">
        <x:v>1 cup cooked</x:v>
      </x:c>
      <x:c r="E46" s="38" t="n">
        <x:v>8.1</x:v>
      </x:c>
      <x:c r="F46" s="39" t="n">
        <x:v>221</x:v>
      </x:c>
      <x:c r="G46" s="38" t="n">
        <x:f>IF(E46&gt;0,F46/E46,"")</x:f>
        <x:v>27.283950617283953</x:v>
      </x:c>
      <x:c r="H46" s="37" t="str">
        <x:v>Cooked enriched pasta/spaghetti; shape affects cup weight.</x:v>
      </x:c>
      <x:c r="I46" s="37" t="str">
        <x:v>https://fdc.nal.usda.gov/food-search?query=pasta%20cooked%201%20cup</x:v>
      </x:c>
    </x:row>
    <x:row r="47">
      <x:c r="A47" s="37" t="str">
        <x:v>g05</x:v>
      </x:c>
      <x:c r="B47" s="37" t="str">
        <x:v>Brown Rice</x:v>
      </x:c>
      <x:c r="C47" s="37" t="str">
        <x:v>grains</x:v>
      </x:c>
      <x:c r="D47" s="37" t="str">
        <x:v>1 cup cooked</x:v>
      </x:c>
      <x:c r="E47" s="38" t="n">
        <x:v>5</x:v>
      </x:c>
      <x:c r="F47" s="39" t="n">
        <x:v>216</x:v>
      </x:c>
      <x:c r="G47" s="38" t="n">
        <x:f>IF(E47&gt;0,F47/E47,"")</x:f>
        <x:v>43.2</x:v>
      </x:c>
      <x:c r="H47" s="37" t="str">
        <x:v>Cooked long-grain brown rice.</x:v>
      </x:c>
      <x:c r="I47" s="37" t="str">
        <x:v>https://fdc.nal.usda.gov/food-search?query=brown%20rice%20cooked%201%20cup</x:v>
      </x:c>
    </x:row>
    <x:row r="48">
      <x:c r="A48" s="37" t="str">
        <x:v>g06</x:v>
      </x:c>
      <x:c r="B48" s="37" t="str">
        <x:v>Whole-Wheat Bread</x:v>
      </x:c>
      <x:c r="C48" s="37" t="str">
        <x:v>grains</x:v>
      </x:c>
      <x:c r="D48" s="37" t="str">
        <x:v>1 slice</x:v>
      </x:c>
      <x:c r="E48" s="38" t="n">
        <x:v>4</x:v>
      </x:c>
      <x:c r="F48" s="39" t="n">
        <x:v>81</x:v>
      </x:c>
      <x:c r="G48" s="38" t="n">
        <x:f>IF(E48&gt;0,F48/E48,"")</x:f>
        <x:v>20.25</x:v>
      </x:c>
      <x:c r="H48" s="37" t="str">
        <x:v>One average slice; bread brands/slice weights vary.</x:v>
      </x:c>
      <x:c r="I48" s="37" t="str">
        <x:v>https://fdc.nal.usda.gov/food-search?query=whole%20wheat%20bread%201%20slice</x:v>
      </x:c>
    </x:row>
    <x:row r="49">
      <x:c r="A49" s="37" t="str">
        <x:v>g07</x:v>
      </x:c>
      <x:c r="B49" s="37" t="str">
        <x:v>Potato (baked)</x:v>
      </x:c>
      <x:c r="C49" s="37" t="str">
        <x:v>grains</x:v>
      </x:c>
      <x:c r="D49" s="37" t="str">
        <x:v>1 medium potato</x:v>
      </x:c>
      <x:c r="E49" s="38" t="n">
        <x:v>4.3</x:v>
      </x:c>
      <x:c r="F49" s="39" t="n">
        <x:v>161</x:v>
      </x:c>
      <x:c r="G49" s="38" t="n">
        <x:f>IF(E49&gt;0,F49/E49,"")</x:f>
        <x:v>37.44186046511628</x:v>
      </x:c>
      <x:c r="H49" s="37" t="str">
        <x:v>Medium baked potato with skin.</x:v>
      </x:c>
      <x:c r="I49" s="37" t="str">
        <x:v>https://fdc.nal.usda.gov/food-search?query=baked%20potato%20medium</x:v>
      </x:c>
    </x:row>
    <x:row r="50">
      <x:c r="A50" s="37" t="str">
        <x:v>v01</x:v>
      </x:c>
      <x:c r="B50" s="37" t="str">
        <x:v>Spinach</x:v>
      </x:c>
      <x:c r="C50" s="37" t="str">
        <x:v>vegetables</x:v>
      </x:c>
      <x:c r="D50" s="37" t="str">
        <x:v>1 cup cooked</x:v>
      </x:c>
      <x:c r="E50" s="38" t="n">
        <x:v>5.3</x:v>
      </x:c>
      <x:c r="F50" s="39" t="n">
        <x:v>41</x:v>
      </x:c>
      <x:c r="G50" s="38" t="n">
        <x:f>IF(E50&gt;0,F50/E50,"")</x:f>
        <x:v>7.735849056603774</x:v>
      </x:c>
      <x:c r="H50" s="37" t="str">
        <x:v>Cooked spinach, drained.</x:v>
      </x:c>
      <x:c r="I50" s="37" t="str">
        <x:v>https://fdc.nal.usda.gov/food-search?query=spinach%20cooked%201%20cup</x:v>
      </x:c>
    </x:row>
    <x:row r="51">
      <x:c r="A51" s="37" t="str">
        <x:v>v02</x:v>
      </x:c>
      <x:c r="B51" s="37" t="str">
        <x:v>Broccoli</x:v>
      </x:c>
      <x:c r="C51" s="37" t="str">
        <x:v>vegetables</x:v>
      </x:c>
      <x:c r="D51" s="37" t="str">
        <x:v>1 cup cooked</x:v>
      </x:c>
      <x:c r="E51" s="38" t="n">
        <x:v>3.7</x:v>
      </x:c>
      <x:c r="F51" s="39" t="n">
        <x:v>55</x:v>
      </x:c>
      <x:c r="G51" s="38" t="n">
        <x:f>IF(E51&gt;0,F51/E51,"")</x:f>
        <x:v>14.864864864864865</x:v>
      </x:c>
      <x:c r="H51" s="37" t="str">
        <x:v>Cooked broccoli, chopped.</x:v>
      </x:c>
      <x:c r="I51" s="37" t="str">
        <x:v>https://fdc.nal.usda.gov/food-search?query=broccoli%20cooked%201%20cup</x:v>
      </x:c>
    </x:row>
    <x:row r="52">
      <x:c r="A52" s="37" t="str">
        <x:v>v03</x:v>
      </x:c>
      <x:c r="B52" s="37" t="str">
        <x:v>Brussels Sprouts</x:v>
      </x:c>
      <x:c r="C52" s="37" t="str">
        <x:v>vegetables</x:v>
      </x:c>
      <x:c r="D52" s="37" t="str">
        <x:v>1 cup cooked</x:v>
      </x:c>
      <x:c r="E52" s="38" t="n">
        <x:v>4</x:v>
      </x:c>
      <x:c r="F52" s="39" t="n">
        <x:v>56</x:v>
      </x:c>
      <x:c r="G52" s="38" t="n">
        <x:f>IF(E52&gt;0,F52/E52,"")</x:f>
        <x:v>14</x:v>
      </x:c>
      <x:c r="H52" s="37" t="str">
        <x:v>Cooked Brussels sprouts.</x:v>
      </x:c>
      <x:c r="I52" s="37" t="str">
        <x:v>https://fdc.nal.usda.gov/food-search?query=brussels%20sprouts%20cooked%201%20cup</x:v>
      </x:c>
    </x:row>
    <x:row r="53">
      <x:c r="A53" s="37" t="str">
        <x:v>v04</x:v>
      </x:c>
      <x:c r="B53" s="37" t="str">
        <x:v>Asparagus</x:v>
      </x:c>
      <x:c r="C53" s="37" t="str">
        <x:v>vegetables</x:v>
      </x:c>
      <x:c r="D53" s="37" t="str">
        <x:v>1 cup cooked</x:v>
      </x:c>
      <x:c r="E53" s="38" t="n">
        <x:v>4.3</x:v>
      </x:c>
      <x:c r="F53" s="39" t="n">
        <x:v>40</x:v>
      </x:c>
      <x:c r="G53" s="38" t="n">
        <x:f>IF(E53&gt;0,F53/E53,"")</x:f>
        <x:v>9.30232558139535</x:v>
      </x:c>
      <x:c r="H53" s="37" t="str">
        <x:v>Cooked asparagus.</x:v>
      </x:c>
      <x:c r="I53" s="37" t="str">
        <x:v>https://fdc.nal.usda.gov/food-search?query=asparagus%20cooked%201%20cup</x:v>
      </x:c>
    </x:row>
    <x:row r="54">
      <x:c r="A54" s="37" t="str">
        <x:v>v05</x:v>
      </x:c>
      <x:c r="B54" s="37" t="str">
        <x:v>Corn</x:v>
      </x:c>
      <x:c r="C54" s="37" t="str">
        <x:v>vegetables</x:v>
      </x:c>
      <x:c r="D54" s="37" t="str">
        <x:v>1 cup cooked</x:v>
      </x:c>
      <x:c r="E54" s="38" t="n">
        <x:v>5.1</x:v>
      </x:c>
      <x:c r="F54" s="39" t="n">
        <x:v>143</x:v>
      </x:c>
      <x:c r="G54" s="38" t="n">
        <x:f>IF(E54&gt;0,F54/E54,"")</x:f>
        <x:v>28.039215686274513</x:v>
      </x:c>
      <x:c r="H54" s="37" t="str">
        <x:v>Cooked sweet corn kernels.</x:v>
      </x:c>
      <x:c r="I54" s="37" t="str">
        <x:v>https://fdc.nal.usda.gov/food-search?query=corn%20sweet%20yellow%20cooked%201%20cup</x:v>
      </x:c>
    </x:row>
    <x:row r="55">
      <x:c r="A55" s="37" t="str">
        <x:v>v06</x:v>
      </x:c>
      <x:c r="B55" s="37" t="str">
        <x:v>Kale</x:v>
      </x:c>
      <x:c r="C55" s="37" t="str">
        <x:v>vegetables</x:v>
      </x:c>
      <x:c r="D55" s="37" t="str">
        <x:v>1 cup cooked</x:v>
      </x:c>
      <x:c r="E55" s="38" t="n">
        <x:v>2.5</x:v>
      </x:c>
      <x:c r="F55" s="39" t="n">
        <x:v>36</x:v>
      </x:c>
      <x:c r="G55" s="38" t="n">
        <x:f>IF(E55&gt;0,F55/E55,"")</x:f>
        <x:v>14.4</x:v>
      </x:c>
      <x:c r="H55" s="37" t="str">
        <x:v>Cooked kale; raw vs cooked cup values differ a lot.</x:v>
      </x:c>
      <x:c r="I55" s="37" t="str">
        <x:v>https://fdc.nal.usda.gov/food-search?query=kale%20cooked%201%20cup</x:v>
      </x:c>
    </x:row>
    <x:row r="56">
      <x:c r="A56" s="37" t="str">
        <x:v>v07</x:v>
      </x:c>
      <x:c r="B56" s="37" t="str">
        <x:v>Collard Greens</x:v>
      </x:c>
      <x:c r="C56" s="37" t="str">
        <x:v>vegetables</x:v>
      </x:c>
      <x:c r="D56" s="37" t="str">
        <x:v>1 cup cooked</x:v>
      </x:c>
      <x:c r="E56" s="38" t="n">
        <x:v>5.2</x:v>
      </x:c>
      <x:c r="F56" s="39" t="n">
        <x:v>63</x:v>
      </x:c>
      <x:c r="G56" s="38" t="n">
        <x:f>IF(E56&gt;0,F56/E56,"")</x:f>
        <x:v>12.115384615384615</x:v>
      </x:c>
      <x:c r="H56" s="37" t="str">
        <x:v>Cooked collard greens.</x:v>
      </x:c>
      <x:c r="I56" s="37" t="str">
        <x:v>https://fdc.nal.usda.gov/food-search?query=collard%20greens%20cooked%201%20cup</x:v>
      </x:c>
    </x:row>
    <x:row r="57">
      <x:c r="A57" s="37" t="str">
        <x:v>fr01</x:v>
      </x:c>
      <x:c r="B57" s="37" t="str">
        <x:v>Guava</x:v>
      </x:c>
      <x:c r="C57" s="37" t="str">
        <x:v>fruit</x:v>
      </x:c>
      <x:c r="D57" s="37" t="str">
        <x:v>1 cup</x:v>
      </x:c>
      <x:c r="E57" s="38" t="n">
        <x:v>4.2</x:v>
      </x:c>
      <x:c r="F57" s="39" t="n">
        <x:v>112</x:v>
      </x:c>
      <x:c r="G57" s="38" t="n">
        <x:f>IF(E57&gt;0,F57/E57,"")</x:f>
        <x:v>26.666666666666664</x:v>
      </x:c>
      <x:c r="H57" s="37" t="str">
        <x:v>Raw guava, about 1 cup.</x:v>
      </x:c>
      <x:c r="I57" s="37" t="str">
        <x:v>https://fdc.nal.usda.gov/food-search?query=guava%201%20cup</x:v>
      </x:c>
    </x:row>
    <x:row r="58">
      <x:c r="A58" s="37" t="str">
        <x:v>fr02</x:v>
      </x:c>
      <x:c r="B58" s="37" t="str">
        <x:v>Avocado</x:v>
      </x:c>
      <x:c r="C58" s="37" t="str">
        <x:v>fruit</x:v>
      </x:c>
      <x:c r="D58" s="37" t="str">
        <x:v>1 whole avocado</x:v>
      </x:c>
      <x:c r="E58" s="38" t="n">
        <x:v>4</x:v>
      </x:c>
      <x:c r="F58" s="39" t="n">
        <x:v>322</x:v>
      </x:c>
      <x:c r="G58" s="38" t="n">
        <x:f>IF(E58&gt;0,F58/E58,"")</x:f>
        <x:v>80.5</x:v>
      </x:c>
      <x:c r="H58" s="37" t="str">
        <x:v>Assumed one whole medium-large avocado; size varies widely.</x:v>
      </x:c>
      <x:c r="I58" s="37" t="str">
        <x:v>https://fdc.nal.usda.gov/food-search?query=avocado%20whole</x:v>
      </x:c>
    </x:row>
    <x:row r="59">
      <x:c r="A59" s="37" t="str">
        <x:v>fr03</x:v>
      </x:c>
      <x:c r="B59" s="37" t="str">
        <x:v>Blackberries</x:v>
      </x:c>
      <x:c r="C59" s="37" t="str">
        <x:v>fruit</x:v>
      </x:c>
      <x:c r="D59" s="37" t="str">
        <x:v>1 cup</x:v>
      </x:c>
      <x:c r="E59" s="38" t="n">
        <x:v>2</x:v>
      </x:c>
      <x:c r="F59" s="39" t="n">
        <x:v>62</x:v>
      </x:c>
      <x:c r="G59" s="38" t="n">
        <x:f>IF(E59&gt;0,F59/E59,"")</x:f>
        <x:v>31</x:v>
      </x:c>
      <x:c r="H59" s="37" t="str">
        <x:v>Raw blackberries.</x:v>
      </x:c>
      <x:c r="I59" s="37" t="str">
        <x:v>https://fdc.nal.usda.gov/food-search?query=blackberries%201%20cup</x:v>
      </x:c>
    </x:row>
    <x:row r="60">
      <x:c r="A60" s="37" t="str">
        <x:v>fr04</x:v>
      </x:c>
      <x:c r="B60" s="37" t="str">
        <x:v>Raspberries</x:v>
      </x:c>
      <x:c r="C60" s="37" t="str">
        <x:v>fruit</x:v>
      </x:c>
      <x:c r="D60" s="37" t="str">
        <x:v>1 cup</x:v>
      </x:c>
      <x:c r="E60" s="38" t="n">
        <x:v>1.5</x:v>
      </x:c>
      <x:c r="F60" s="39" t="n">
        <x:v>64</x:v>
      </x:c>
      <x:c r="G60" s="38" t="n">
        <x:f>IF(E60&gt;0,F60/E60,"")</x:f>
        <x:v>42.666666666666664</x:v>
      </x:c>
      <x:c r="H60" s="37" t="str">
        <x:v>Raw raspberries.</x:v>
      </x:c>
      <x:c r="I60" s="37" t="str">
        <x:v>https://fdc.nal.usda.gov/food-search?query=raspberries%201%20cup</x:v>
      </x:c>
    </x:row>
    <x:row r="61">
      <x:c r="A61" s="37" t="str">
        <x:v>fr05</x:v>
      </x:c>
      <x:c r="B61" s="37" t="str">
        <x:v>Banana</x:v>
      </x:c>
      <x:c r="C61" s="37" t="str">
        <x:v>fruit</x:v>
      </x:c>
      <x:c r="D61" s="37" t="str">
        <x:v>1 medium</x:v>
      </x:c>
      <x:c r="E61" s="38" t="n">
        <x:v>1.3</x:v>
      </x:c>
      <x:c r="F61" s="39" t="n">
        <x:v>105</x:v>
      </x:c>
      <x:c r="G61" s="38" t="n">
        <x:f>IF(E61&gt;0,F61/E61,"")</x:f>
        <x:v>80.76923076923076</x:v>
      </x:c>
      <x:c r="H61" s="37" t="str">
        <x:v>Medium raw banana.</x:v>
      </x:c>
      <x:c r="I61" s="37" t="str">
        <x:v>https://fdc.nal.usda.gov/food-search?query=banana%20medium</x:v>
      </x:c>
    </x:row>
    <x:row r="62">
      <x:c r="A62" s="37" t="str">
        <x:v>fr06</x:v>
      </x:c>
      <x:c r="B62" s="37" t="str">
        <x:v>Strawberries</x:v>
      </x:c>
      <x:c r="C62" s="37" t="str">
        <x:v>fruit</x:v>
      </x:c>
      <x:c r="D62" s="37" t="str">
        <x:v>1 cup</x:v>
      </x:c>
      <x:c r="E62" s="38" t="n">
        <x:v>1</x:v>
      </x:c>
      <x:c r="F62" s="39" t="n">
        <x:v>49</x:v>
      </x:c>
      <x:c r="G62" s="38" t="n">
        <x:f>IF(E62&gt;0,F62/E62,"")</x:f>
        <x:v>49</x:v>
      </x:c>
      <x:c r="H62" s="37" t="str">
        <x:v>Raw strawberry halves/slices.</x:v>
      </x:c>
      <x:c r="I62" s="37" t="str">
        <x:v>https://fdc.nal.usda.gov/food-search?query=strawberries%201%20cup</x:v>
      </x:c>
    </x:row>
    <x:row r="63">
      <x:c r="A63" s="37" t="str">
        <x:v>fr07</x:v>
      </x:c>
      <x:c r="B63" s="37" t="str">
        <x:v>Blueberries</x:v>
      </x:c>
      <x:c r="C63" s="37" t="str">
        <x:v>fruit</x:v>
      </x:c>
      <x:c r="D63" s="37" t="str">
        <x:v>1 cup</x:v>
      </x:c>
      <x:c r="E63" s="38" t="n">
        <x:v>1.1</x:v>
      </x:c>
      <x:c r="F63" s="39" t="n">
        <x:v>84</x:v>
      </x:c>
      <x:c r="G63" s="38" t="n">
        <x:f>IF(E63&gt;0,F63/E63,"")</x:f>
        <x:v>76.36363636363636</x:v>
      </x:c>
      <x:c r="H63" s="37" t="str">
        <x:v>Raw blueberries.</x:v>
      </x:c>
      <x:c r="I63" s="37" t="str">
        <x:v>https://fdc.nal.usda.gov/food-search?query=blueberries%201%20cup</x:v>
      </x:c>
    </x:row>
    <x:row r="64">
      <x:c r="A64" s="37" t="str">
        <x:v>fr08</x:v>
      </x:c>
      <x:c r="B64" s="37" t="str">
        <x:v>Apple</x:v>
      </x:c>
      <x:c r="C64" s="37" t="str">
        <x:v>fruit</x:v>
      </x:c>
      <x:c r="D64" s="37" t="str">
        <x:v>1 medium</x:v>
      </x:c>
      <x:c r="E64" s="38" t="n">
        <x:v>0.5</x:v>
      </x:c>
      <x:c r="F64" s="39" t="n">
        <x:v>95</x:v>
      </x:c>
      <x:c r="G64" s="38" t="n">
        <x:f>IF(E64&gt;0,F64/E64,"")</x:f>
        <x:v>190</x:v>
      </x:c>
      <x:c r="H64" s="37" t="str">
        <x:v>Medium raw apple.</x:v>
      </x:c>
      <x:c r="I64" s="37" t="str">
        <x:v>https://fdc.nal.usda.gov/food-search?query=apple%20medium</x:v>
      </x:c>
    </x:row>
    <x:row r="65">
      <x:c r="A65" s="37" t="str">
        <x:v>s01</x:v>
      </x:c>
      <x:c r="B65" s="37" t="str">
        <x:v>Whey Protein</x:v>
      </x:c>
      <x:c r="C65" s="37" t="str">
        <x:v>supplements</x:v>
      </x:c>
      <x:c r="D65" s="37" t="str">
        <x:v>1 scoop / 30g</x:v>
      </x:c>
      <x:c r="E65" s="38" t="n">
        <x:v>24</x:v>
      </x:c>
      <x:c r="F65" s="39" t="n">
        <x:v>120</x:v>
      </x:c>
      <x:c r="G65" s="38" t="n">
        <x:f>IF(E65&gt;0,F65/E65,"")</x:f>
        <x:v>5</x:v>
      </x:c>
      <x:c r="H65" s="37" t="str">
        <x:v>Generic whey protein label estimate; use your brand label if known.</x:v>
      </x:c>
      <x:c r="I65" s="37" t="str">
        <x:v>https://fdc.nal.usda.gov/food-search?query=whey%20protein%20powder%2030g</x:v>
      </x:c>
    </x:row>
    <x:row r="66">
      <x:c r="A66" s="37" t="str">
        <x:v>s02</x:v>
      </x:c>
      <x:c r="B66" s="37" t="str">
        <x:v>Casein Protein</x:v>
      </x:c>
      <x:c r="C66" s="37" t="str">
        <x:v>supplements</x:v>
      </x:c>
      <x:c r="D66" s="37" t="str">
        <x:v>1 scoop / 33g</x:v>
      </x:c>
      <x:c r="E66" s="38" t="n">
        <x:v>24</x:v>
      </x:c>
      <x:c r="F66" s="39" t="n">
        <x:v>120</x:v>
      </x:c>
      <x:c r="G66" s="38" t="n">
        <x:f>IF(E66&gt;0,F66/E66,"")</x:f>
        <x:v>5</x:v>
      </x:c>
      <x:c r="H66" s="37" t="str">
        <x:v>Generic casein protein label estimate; use your brand label if known.</x:v>
      </x:c>
      <x:c r="I66" s="37" t="str">
        <x:v>https://fdc.nal.usda.gov/food-search?query=casein%20protein%20powder%2033g</x:v>
      </x:c>
    </x:row>
    <x:row r="67">
      <x:c r="A67" s="37" t="str">
        <x:v>s03</x:v>
      </x:c>
      <x:c r="B67" s="37" t="str">
        <x:v>Plant Protein Powder</x:v>
      </x:c>
      <x:c r="C67" s="37" t="str">
        <x:v>supplements</x:v>
      </x:c>
      <x:c r="D67" s="37" t="str">
        <x:v>1 scoop / 30g</x:v>
      </x:c>
      <x:c r="E67" s="38" t="n">
        <x:v>20</x:v>
      </x:c>
      <x:c r="F67" s="39" t="n">
        <x:v>120</x:v>
      </x:c>
      <x:c r="G67" s="38" t="n">
        <x:f>IF(E67&gt;0,F67/E67,"")</x:f>
        <x:v>6</x:v>
      </x:c>
      <x:c r="H67" s="37" t="str">
        <x:v>Generic plant protein powder; brand formulas vary substantially.</x:v>
      </x:c>
      <x:c r="I67" s="37" t="str">
        <x:v>https://fdc.nal.usda.gov/food-search?query=plant%20protein%20powder%2030g</x:v>
      </x:c>
    </x:row>
    <x:row r="68">
      <x:c r="A68" s="37" t="str">
        <x:v>s04</x:v>
      </x:c>
      <x:c r="B68" s="37" t="str">
        <x:v>Protein Bar</x:v>
      </x:c>
      <x:c r="C68" s="37" t="str">
        <x:v>supplements</x:v>
      </x:c>
      <x:c r="D68" s="37" t="str">
        <x:v>1 bar / ~60g</x:v>
      </x:c>
      <x:c r="E68" s="38" t="n">
        <x:v>20</x:v>
      </x:c>
      <x:c r="F68" s="39" t="n">
        <x:v>200</x:v>
      </x:c>
      <x:c r="G68" s="38" t="n">
        <x:f>IF(E68&gt;0,F68/E68,"")</x:f>
        <x:v>10</x:v>
      </x:c>
      <x:c r="H68" s="37" t="str">
        <x:v>Generic protein bar estimate; check exact bar label.</x:v>
      </x:c>
      <x:c r="I68" s="37" t="str">
        <x:v>https://fdc.nal.usda.gov/food-search?query=protein%20bar%2060g</x:v>
      </x:c>
    </x:row>
    <x:row r="69">
      <x:c r="A69" s="37" t="str">
        <x:v>o01</x:v>
      </x:c>
      <x:c r="B69" s="37" t="str">
        <x:v>Chobani Protein Yogurt</x:v>
      </x:c>
      <x:c r="C69" s="37" t="str">
        <x:v>other</x:v>
      </x:c>
      <x:c r="D69" s="37" t="str">
        <x:v>1 cup / 6.7 oz</x:v>
      </x:c>
      <x:c r="E69" s="38" t="n">
        <x:v>20</x:v>
      </x:c>
      <x:c r="F69" s="39" t="n">
        <x:v>140</x:v>
      </x:c>
      <x:c r="G69" s="38" t="n">
        <x:f>IF(E69&gt;0,F69/E69,"")</x:f>
        <x:v>7</x:v>
      </x:c>
      <x:c r="H69" s="37" t="str">
        <x:v>Assumed Chobani 20g High Protein Greek Yogurt cup; drinks are often 170 kcal.</x:v>
      </x:c>
      <x:c r="I69" s="37" t="str">
        <x:v>https://www.chobani.com/products/yogurt/high-protein/vanilla-20g</x:v>
      </x:c>
    </x:row>
    <x:row r="70">
      <x:c r="A70" s="37" t="str">
        <x:v>o02</x:v>
      </x:c>
      <x:c r="B70" s="37" t="str">
        <x:v>Pomegranate Seeds</x:v>
      </x:c>
      <x:c r="C70" s="37" t="str">
        <x:v>other</x:v>
      </x:c>
      <x:c r="D70" s="37" t="str">
        <x:v>½ cup arils / 87g</x:v>
      </x:c>
      <x:c r="E70" s="38" t="n">
        <x:v>1.5</x:v>
      </x:c>
      <x:c r="F70" s="39" t="n">
        <x:v>73</x:v>
      </x:c>
      <x:c r="G70" s="38" t="n">
        <x:f>IF(E70&gt;0,F70/E70,"")</x:f>
        <x:v>48.666666666666664</x:v>
      </x:c>
      <x:c r="H70" s="37" t="str">
        <x:v>Common serving of pomegranate arils/seeds.</x:v>
      </x:c>
      <x:c r="I70" s="37" t="str">
        <x:v>https://snaped.fns.usda.gov/resources/nutrition-education-materials/seasonal-produce-guide/pomegranates</x:v>
      </x:c>
    </x:row>
    <x:row r="71">
      <x:c r="A71" s="37" t="str">
        <x:v>o03</x:v>
      </x:c>
      <x:c r="B71" s="37" t="str">
        <x:v>Cacao Powder</x:v>
      </x:c>
      <x:c r="C71" s="37" t="str">
        <x:v>other</x:v>
      </x:c>
      <x:c r="D71" s="37" t="str">
        <x:v>1 tbsp / ~5g</x:v>
      </x:c>
      <x:c r="E71" s="38" t="n">
        <x:v>1.1</x:v>
      </x:c>
      <x:c r="F71" s="39" t="n">
        <x:v>12</x:v>
      </x:c>
      <x:c r="G71" s="38" t="n">
        <x:f>IF(E71&gt;0,F71/E71,"")</x:f>
        <x:v>10.909090909090908</x:v>
      </x:c>
      <x:c r="H71" s="37" t="str">
        <x:v>Unsweetened cocoa/cacao powder; brand and alkalization vary.</x:v>
      </x:c>
      <x:c r="I71" s="37" t="str">
        <x:v>https://fdc.nal.usda.gov/food-search?query=cocoa%20powder%20unsweetened%201%20tablespoon</x:v>
      </x:c>
    </x:row>
    <x:row r="72">
      <x:c r="A72" s="37" t="str">
        <x:v>o04</x:v>
      </x:c>
      <x:c r="B72" s="37" t="str">
        <x:v>Sweet Potato</x:v>
      </x:c>
      <x:c r="C72" s="37" t="str">
        <x:v>other</x:v>
      </x:c>
      <x:c r="D72" s="37" t="str">
        <x:v>1 medium / ~130g</x:v>
      </x:c>
      <x:c r="E72" s="38" t="n">
        <x:v>2</x:v>
      </x:c>
      <x:c r="F72" s="39" t="n">
        <x:v>100</x:v>
      </x:c>
      <x:c r="G72" s="38" t="n">
        <x:f>IF(E72&gt;0,F72/E72,"")</x:f>
        <x:v>50</x:v>
      </x:c>
      <x:c r="H72" s="37" t="str">
        <x:v>Medium skin-on sweet potato; baked/boiled prep varies slightly.</x:v>
      </x:c>
      <x:c r="I72" s="37" t="str">
        <x:v>https://potatogoodness.com/nutrition/</x:v>
      </x:c>
    </x:row>
    <x:row r="73">
      <x:c r="A73" s="37" t="str">
        <x:v>o05</x:v>
      </x:c>
      <x:c r="B73" s="37" t="str">
        <x:v>Golden Potato</x:v>
      </x:c>
      <x:c r="C73" s="37" t="str">
        <x:v>other</x:v>
      </x:c>
      <x:c r="D73" s="37" t="str">
        <x:v>1 medium / ~148g</x:v>
      </x:c>
      <x:c r="E73" s="38" t="n">
        <x:v>3</x:v>
      </x:c>
      <x:c r="F73" s="39" t="n">
        <x:v>110</x:v>
      </x:c>
      <x:c r="G73" s="38" t="n">
        <x:f>IF(E73&gt;0,F73/E73,"")</x:f>
        <x:v>36.666666666666664</x:v>
      </x:c>
      <x:c r="H73" s="37" t="str">
        <x:v>Assumed medium yellow/Yukon Gold-style potato with skin.</x:v>
      </x:c>
      <x:c r="I73" s="37" t="str">
        <x:v>https://potatogoodness.com/nutrition/</x:v>
      </x:c>
    </x:row>
  </x:sheetData>
  <x:mergeCells>
    <x:mergeCell ref="A1:I1"/>
    <x:mergeCell ref="A2:I2"/>
  </x:mergeCells>
  <x:conditionalFormatting sqref="E5:E73">
    <x:cfRule type="dataBar" priority="1">
      <x:dataBar>
        <x:cfvo type="min"/>
        <x:cfvo type="max"/>
        <x:color rgb="63C384"/>
      </x:dataBar>
      <x:extLst>
        <x:ext xmlns:x14="http://schemas.microsoft.com/office/spreadsheetml/2009/9/main" uri="{B025F937-C7B1-47D3-B67F-A62EFF666E3E}">
          <x14:id>{9C6BB079-AB3C-BD6A-2867-546F9B0B4EF7}</x14:id>
        </x:ext>
      </x:extLst>
    </x:cfRule>
  </x:conditionalFormatting>
  <x:conditionalFormatting sqref="G5:G73">
    <x:cfRule type="colorScale" priority="2">
      <x:colorScale>
        <x:cfvo type="min"/>
        <x:cfvo type="percentile" val="50"/>
        <x:cfvo type="max"/>
        <x:color rgb="DDEBF7"/>
        <x:color rgb="FFF2CC"/>
        <x:color rgb="F4B18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bc2bdc6b02e423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C6BB079-AB3C-BD6A-2867-546F9B0B4EF7}">
            <x14:dataBar gradient="1">
              <x14:cfvo type="min"/>
              <x14:cfvo type="max"/>
              <x14:fillColor rgb="63C384"/>
            </x14:dataBar>
          </x14:cfRule>
          <xm:sqref>E5:E73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4" hidden="0" customWidth="1"/>
    <x:col min="5" max="5" width="28" hidden="0" customWidth="1"/>
  </x:cols>
  <x:sheetData>
    <x:row r="1">
      <x:c r="A1" s="4" t="str">
        <x:v>Category Summary</x:v>
      </x:c>
    </x:row>
    <x:row r="3">
      <x:c r="A3" s="23" t="str">
        <x:v>Category</x:v>
      </x:c>
      <x:c r="B3" s="23" t="str">
        <x:v>Foods Count</x:v>
      </x:c>
      <x:c r="C3" s="23" t="str">
        <x:v>Avg Protein (g)</x:v>
      </x:c>
      <x:c r="D3" s="23" t="str">
        <x:v>Avg Calories</x:v>
      </x:c>
      <x:c r="E3" s="23" t="str">
        <x:v>Best Protein/Calorie Food</x:v>
      </x:c>
    </x:row>
    <x:row r="4">
      <x:c r="A4" t="str">
        <x:v>meat</x:v>
      </x:c>
      <x:c r="B4" t="n">
        <x:v>7</x:v>
      </x:c>
      <x:c r="C4" s="30" t="n">
        <x:v>21.2</x:v>
      </x:c>
      <x:c r="D4" s="32" t="n">
        <x:v>143</x:v>
      </x:c>
      <x:c r="E4" t="str">
        <x:v>Turkey Breast</x:v>
      </x:c>
    </x:row>
    <x:row r="5">
      <x:c r="A5" t="str">
        <x:v>fish</x:v>
      </x:c>
      <x:c r="B5" t="n">
        <x:v>5</x:v>
      </x:c>
      <x:c r="C5" s="30" t="n">
        <x:v>21.1</x:v>
      </x:c>
      <x:c r="D5" s="32" t="n">
        <x:v>128</x:v>
      </x:c>
      <x:c r="E5" t="str">
        <x:v>Shrimp</x:v>
      </x:c>
    </x:row>
    <x:row r="6">
      <x:c r="A6" t="str">
        <x:v>eggs</x:v>
      </x:c>
      <x:c r="B6" t="n">
        <x:v>2</x:v>
      </x:c>
      <x:c r="C6" s="30" t="n">
        <x:v>8.6</x:v>
      </x:c>
      <x:c r="D6" s="32" t="n">
        <x:v>62</x:v>
      </x:c>
      <x:c r="E6" t="str">
        <x:v>Egg Whites</x:v>
      </x:c>
    </x:row>
    <x:row r="7">
      <x:c r="A7" t="str">
        <x:v>dairy</x:v>
      </x:c>
      <x:c r="B7" t="n">
        <x:v>5</x:v>
      </x:c>
      <x:c r="C7" s="30" t="n">
        <x:v>13.1</x:v>
      </x:c>
      <x:c r="D7" s="32" t="n">
        <x:v>122</x:v>
      </x:c>
      <x:c r="E7" t="str">
        <x:v>Cottage Cheese (low-fat)</x:v>
      </x:c>
    </x:row>
    <x:row r="8">
      <x:c r="A8" t="str">
        <x:v>legumes</x:v>
      </x:c>
      <x:c r="B8" t="n">
        <x:v>9</x:v>
      </x:c>
      <x:c r="C8" s="30" t="n">
        <x:v>14.7</x:v>
      </x:c>
      <x:c r="D8" s="32" t="n">
        <x:v>200</x:v>
      </x:c>
      <x:c r="E8" t="str">
        <x:v>Tofu (firm)</x:v>
      </x:c>
    </x:row>
    <x:row r="9">
      <x:c r="A9" t="str">
        <x:v>nuts</x:v>
      </x:c>
      <x:c r="B9" t="n">
        <x:v>10</x:v>
      </x:c>
      <x:c r="C9" s="30" t="n">
        <x:v>6.4</x:v>
      </x:c>
      <x:c r="D9" s="32" t="n">
        <x:v>164</x:v>
      </x:c>
      <x:c r="E9" t="str">
        <x:v>Hemp Hearts</x:v>
      </x:c>
    </x:row>
    <x:row r="10">
      <x:c r="A10" t="str">
        <x:v>grains</x:v>
      </x:c>
      <x:c r="B10" t="n">
        <x:v>7</x:v>
      </x:c>
      <x:c r="C10" s="30" t="n">
        <x:v>6.1</x:v>
      </x:c>
      <x:c r="D10" s="32" t="n">
        <x:v>177</x:v>
      </x:c>
      <x:c r="E10" t="str">
        <x:v>Whole-Wheat Bread</x:v>
      </x:c>
    </x:row>
    <x:row r="11">
      <x:c r="A11" t="str">
        <x:v>vegetables</x:v>
      </x:c>
      <x:c r="B11" t="n">
        <x:v>7</x:v>
      </x:c>
      <x:c r="C11" s="30" t="n">
        <x:v>4.3</x:v>
      </x:c>
      <x:c r="D11" s="32" t="n">
        <x:v>62</x:v>
      </x:c>
      <x:c r="E11" t="str">
        <x:v>Spinach</x:v>
      </x:c>
    </x:row>
    <x:row r="12">
      <x:c r="A12" t="str">
        <x:v>fruit</x:v>
      </x:c>
      <x:c r="B12" t="n">
        <x:v>8</x:v>
      </x:c>
      <x:c r="C12" s="30" t="n">
        <x:v>1.9</x:v>
      </x:c>
      <x:c r="D12" s="32" t="n">
        <x:v>112</x:v>
      </x:c>
      <x:c r="E12" t="str">
        <x:v>Guava</x:v>
      </x:c>
    </x:row>
    <x:row r="13">
      <x:c r="A13" t="str">
        <x:v>supplements</x:v>
      </x:c>
      <x:c r="B13" t="n">
        <x:v>4</x:v>
      </x:c>
      <x:c r="C13" s="30" t="n">
        <x:v>22</x:v>
      </x:c>
      <x:c r="D13" s="32" t="n">
        <x:v>140</x:v>
      </x:c>
      <x:c r="E13" t="str">
        <x:v>Whey Protein</x:v>
      </x:c>
    </x:row>
    <x:row r="14">
      <x:c r="A14" t="str">
        <x:v>other</x:v>
      </x:c>
      <x:c r="B14" t="n">
        <x:v>5</x:v>
      </x:c>
      <x:c r="C14" s="30" t="n">
        <x:v>5.5</x:v>
      </x:c>
      <x:c r="D14" s="32" t="n">
        <x:v>87</x:v>
      </x:c>
      <x:c r="E14" t="str">
        <x:v>Chobani Protein Yogurt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a112780e0ad4d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2" t="str">
        <x:v>Source</x:v>
      </x:c>
      <x:c r="B1" s="22" t="str">
        <x:v>Notes</x:v>
      </x:c>
    </x:row>
    <x:row r="2">
      <x:c r="A2" s="34" t="str">
        <x:v>USDA FoodData Central</x:v>
      </x:c>
      <x:c r="B2" s="34" t="str">
        <x:v>Primary source family for generic foods. URLs in the main sheet point to relevant FoodData Central searches.</x:v>
      </x:c>
    </x:row>
    <x:row r="3">
      <x:c r="A3" s="34" t="str">
        <x:v>Chobani official product page</x:v>
      </x:c>
      <x:c r="B3" s="34" t="str">
        <x:v>Used for Chobani 20g High Protein Greek Yogurt cup: 20g protein, 140 kcal per 6.7 oz cup.</x:v>
      </x:c>
    </x:row>
    <x:row r="4">
      <x:c r="A4" s="34" t="str">
        <x:v>USDA SNAP-Ed pomegranates</x:v>
      </x:c>
      <x:c r="B4" s="34" t="str">
        <x:v>Used to sanity-check pomegranate seed/aril serving values.</x:v>
      </x:c>
    </x:row>
    <x:row r="5">
      <x:c r="A5" s="34" t="str">
        <x:v>Potatoes USA / Potato Goodness</x:v>
      </x:c>
      <x:c r="B5" s="34" t="str">
        <x:v>Used for medium potato and sweet potato standard serving estimates.</x:v>
      </x:c>
    </x:row>
  </x:sheetData>
  <x:pageMargins left="0.7" right="0.7" top="0.75" bottom="0.75" header="0.3" footer="0.3"/>
</x:worksheet>
</file>